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bom tool\"/>
    </mc:Choice>
  </mc:AlternateContent>
  <xr:revisionPtr revIDLastSave="0" documentId="13_ncr:1_{58B2AD02-BA9F-4893-AEB9-E9B306EDED7F}" xr6:coauthVersionLast="47" xr6:coauthVersionMax="47" xr10:uidLastSave="{00000000-0000-0000-0000-000000000000}"/>
  <bookViews>
    <workbookView xWindow="-120" yWindow="-120" windowWidth="29040" windowHeight="15720" firstSheet="3" activeTab="9" xr2:uid="{00000000-000D-0000-FFFF-FFFF00000000}"/>
  </bookViews>
  <sheets>
    <sheet name="Lecture_Breakdown" sheetId="1" r:id="rId1"/>
    <sheet name="Exam_Status" sheetId="2" r:id="rId2"/>
    <sheet name="Highlights" sheetId="3" r:id="rId3"/>
    <sheet name="Enrollments" sheetId="4" r:id="rId4"/>
    <sheet name="Batch_Transfers" sheetId="5" r:id="rId5"/>
    <sheet name="Dropouts" sheetId="6" r:id="rId6"/>
    <sheet name="Lecture_Commencements" sheetId="7" r:id="rId7"/>
    <sheet name="Lecture_Endings" sheetId="8" r:id="rId8"/>
    <sheet name="Internship" sheetId="9" r:id="rId9"/>
    <sheet name="Counselling sessions 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</calcChain>
</file>

<file path=xl/sharedStrings.xml><?xml version="1.0" encoding="utf-8"?>
<sst xmlns="http://schemas.openxmlformats.org/spreadsheetml/2006/main" count="137" uniqueCount="105">
  <si>
    <t>Degree</t>
  </si>
  <si>
    <t>Mode</t>
  </si>
  <si>
    <t>Lecture_Count</t>
  </si>
  <si>
    <t>BA</t>
  </si>
  <si>
    <t>Weekday</t>
  </si>
  <si>
    <t>Weekend</t>
  </si>
  <si>
    <t>AC</t>
  </si>
  <si>
    <t>Exam_Cycle</t>
  </si>
  <si>
    <t>Jan</t>
  </si>
  <si>
    <t>Feb</t>
  </si>
  <si>
    <t>March</t>
  </si>
  <si>
    <t>July</t>
  </si>
  <si>
    <t>Date</t>
  </si>
  <si>
    <t>Cumulative</t>
  </si>
  <si>
    <t>Target</t>
  </si>
  <si>
    <t>Cum. Total</t>
  </si>
  <si>
    <t>Applied Accounting</t>
  </si>
  <si>
    <t>Budget</t>
  </si>
  <si>
    <t>Actual</t>
  </si>
  <si>
    <t>MoHE</t>
  </si>
  <si>
    <t>(Applied Accounting)</t>
  </si>
  <si>
    <t>Exemptions</t>
  </si>
  <si>
    <t>MoHE (Business Analytics)</t>
  </si>
  <si>
    <t>TOTAL</t>
  </si>
  <si>
    <t>Y1 S2</t>
  </si>
  <si>
    <t>Y2 S2</t>
  </si>
  <si>
    <t>18B WD</t>
  </si>
  <si>
    <t>Y2 S1</t>
  </si>
  <si>
    <t>Results Released</t>
  </si>
  <si>
    <t>No of Exam Papers</t>
  </si>
  <si>
    <t>September</t>
  </si>
  <si>
    <t>October</t>
  </si>
  <si>
    <t>November</t>
  </si>
  <si>
    <t>January</t>
  </si>
  <si>
    <t>No.</t>
  </si>
  <si>
    <t>Time</t>
  </si>
  <si>
    <t xml:space="preserve">Venue </t>
  </si>
  <si>
    <t xml:space="preserve">Reource Person </t>
  </si>
  <si>
    <t xml:space="preserve">Qualifications </t>
  </si>
  <si>
    <t xml:space="preserve">Guest Lecture Topic </t>
  </si>
  <si>
    <t xml:space="preserve"> Subject </t>
  </si>
  <si>
    <t xml:space="preserve">Batch </t>
  </si>
  <si>
    <t>7th February 2026</t>
  </si>
  <si>
    <t>3.30pm - 6.30 pm</t>
  </si>
  <si>
    <t xml:space="preserve">CA </t>
  </si>
  <si>
    <t xml:space="preserve">Dr. Roshan Jayantha </t>
  </si>
  <si>
    <t>From Research Problem to Data Collection: A Practical Workshop for Research Students</t>
  </si>
  <si>
    <t xml:space="preserve">Dissertation (4Y. 2 Sem) </t>
  </si>
  <si>
    <t>15 D (WE), 16A (MOHE), 16B (WE)(WD)</t>
  </si>
  <si>
    <t xml:space="preserve">20th February 2026 </t>
  </si>
  <si>
    <t xml:space="preserve">9.00 am - 12.00 noon </t>
  </si>
  <si>
    <t>SAB</t>
  </si>
  <si>
    <t>Mr. Nishantha Bandara Illangasinghe</t>
  </si>
  <si>
    <t>Head - Strategic Development Unit, Hayleys Agriculture Holdings Ltd.</t>
  </si>
  <si>
    <t xml:space="preserve">Sustainability Accounting in Practice: The Accountant’s Role </t>
  </si>
  <si>
    <t>Advanced Management Accounting(2 Y 2 sem)</t>
  </si>
  <si>
    <t xml:space="preserve">18th March 2026 </t>
  </si>
  <si>
    <t xml:space="preserve">9.30 am - 12.30 noon </t>
  </si>
  <si>
    <t xml:space="preserve">SAB </t>
  </si>
  <si>
    <t>Bridging Sustainability Actions and Financial Reporting</t>
  </si>
  <si>
    <t>Financial Reporting (2 Y 1 sem)</t>
  </si>
  <si>
    <t>19A (WD)</t>
  </si>
  <si>
    <t>COO - Wijeya Newspapers Ltd. (CE,CEP,MSc,BSc)</t>
  </si>
  <si>
    <t>Eng.Janaka Rathnakumara</t>
  </si>
  <si>
    <t>Fellow chartered accounted (FCA), Phd,MBA</t>
  </si>
  <si>
    <t>Event</t>
  </si>
  <si>
    <t>Thai Pongal</t>
  </si>
  <si>
    <t>8th Feb</t>
  </si>
  <si>
    <t>13th Feb</t>
  </si>
  <si>
    <t>Blood Doation Campaign</t>
  </si>
  <si>
    <t xml:space="preserve">Iftar Celebration </t>
  </si>
  <si>
    <t>14th March</t>
  </si>
  <si>
    <t>Degree Programme</t>
  </si>
  <si>
    <t>(Aug)</t>
  </si>
  <si>
    <t> Oct</t>
  </si>
  <si>
    <t>Business Analytics</t>
  </si>
  <si>
    <t xml:space="preserve">Month </t>
  </si>
  <si>
    <t>Count</t>
  </si>
  <si>
    <t xml:space="preserve">Jan </t>
  </si>
  <si>
    <t>Batch</t>
  </si>
  <si>
    <t>Y:S</t>
  </si>
  <si>
    <t>New Semester commencement</t>
  </si>
  <si>
    <t>19B Ex</t>
  </si>
  <si>
    <t>17B MOHE WD/WE</t>
  </si>
  <si>
    <t>Y3 S2</t>
  </si>
  <si>
    <t>19B MOHE WE</t>
  </si>
  <si>
    <t>19B WE </t>
  </si>
  <si>
    <t>3BWE /MOHE WE (BMBA)</t>
  </si>
  <si>
    <t>18B WE</t>
  </si>
  <si>
    <t>2B WD/WE (BMBA)</t>
  </si>
  <si>
    <t>19A WD/MOHE WD</t>
  </si>
  <si>
    <t>3A WD/MOHE WD (BMBA)</t>
  </si>
  <si>
    <t>18A WE/18C EX - CA,MAAT</t>
  </si>
  <si>
    <t>2A WE (BMBA)</t>
  </si>
  <si>
    <t>End Semester  </t>
  </si>
  <si>
    <t>Audit</t>
  </si>
  <si>
    <t>Big 3</t>
  </si>
  <si>
    <t>Other Audits Firms</t>
  </si>
  <si>
    <t>Non Audit</t>
  </si>
  <si>
    <t>Total</t>
  </si>
  <si>
    <t xml:space="preserve">CA Registered </t>
  </si>
  <si>
    <t>CA Not Registred</t>
  </si>
  <si>
    <t>Counselling sessions </t>
  </si>
  <si>
    <t>Month</t>
  </si>
  <si>
    <t>Complete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</si>
</sst>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14" fontId="10" fillId="2" borderId="18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center" vertical="center"/>
    </xf>
    <xf numFmtId="14" fontId="10" fillId="2" borderId="19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9" fontId="0" fillId="0" borderId="1" xfId="1" applyFont="1" applyBorder="1"/>
    <xf numFmtId="2" fontId="0" fillId="0" borderId="1" xfId="0" applyNumberFormat="1" applyBorder="1"/>
    <xf numFmtId="0" fontId="9" fillId="0" borderId="1" xfId="0" applyFont="1" applyBorder="1"/>
    <xf numFmtId="0" fontId="3" fillId="0" borderId="1" xfId="0" applyFont="1" applyBorder="1"/>
    <xf numFmtId="0" fontId="9" fillId="2" borderId="2" xfId="0" applyFont="1" applyFill="1" applyBorder="1" applyAlignment="1">
      <alignment vertical="top" wrapText="1"/>
    </xf>
    <xf numFmtId="0" fontId="9" fillId="2" borderId="14" xfId="0" applyFont="1" applyFill="1" applyBorder="1" applyAlignment="1">
      <alignment vertical="top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9" fillId="2" borderId="14" xfId="0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167" fontId="0" fillId="0" borderId="1" xfId="2" applyNumberFormat="1" applyFont="1" applyBorder="1"/>
    <xf numFmtId="0" fontId="11" fillId="4" borderId="22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0" sqref="C10"/>
    </sheetView>
  </sheetViews>
  <sheetFormatPr defaultRowHeight="15"/>
  <cols>
    <col min="3" max="3" width="19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48</v>
      </c>
    </row>
    <row r="3" spans="1:3">
      <c r="A3" s="2" t="s">
        <v>3</v>
      </c>
      <c r="B3" s="2" t="s">
        <v>5</v>
      </c>
      <c r="C3" s="2">
        <v>95</v>
      </c>
    </row>
    <row r="4" spans="1:3">
      <c r="A4" s="2" t="s">
        <v>6</v>
      </c>
      <c r="B4" s="2" t="s">
        <v>4</v>
      </c>
      <c r="C4" s="2">
        <v>113</v>
      </c>
    </row>
    <row r="5" spans="1:3">
      <c r="A5" s="2" t="s">
        <v>6</v>
      </c>
      <c r="B5" s="2" t="s">
        <v>5</v>
      </c>
      <c r="C5" s="2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F22" sqref="F22"/>
    </sheetView>
  </sheetViews>
  <sheetFormatPr defaultRowHeight="15"/>
  <cols>
    <col min="1" max="1" width="11.42578125" bestFit="1" customWidth="1"/>
    <col min="2" max="2" width="17.28515625" bestFit="1" customWidth="1"/>
    <col min="3" max="3" width="16.7109375" customWidth="1"/>
    <col min="4" max="4" width="20.140625" bestFit="1" customWidth="1"/>
  </cols>
  <sheetData>
    <row r="1" spans="1:4">
      <c r="A1" s="1" t="s">
        <v>7</v>
      </c>
      <c r="B1" s="1" t="s">
        <v>29</v>
      </c>
      <c r="C1" s="1" t="s">
        <v>28</v>
      </c>
      <c r="D1" s="53" t="s">
        <v>104</v>
      </c>
    </row>
    <row r="2" spans="1:4">
      <c r="A2" s="2" t="s">
        <v>30</v>
      </c>
      <c r="B2" s="2">
        <v>42</v>
      </c>
      <c r="C2" s="2">
        <v>42</v>
      </c>
      <c r="D2" s="54">
        <f>C2/B2*100</f>
        <v>100</v>
      </c>
    </row>
    <row r="3" spans="1:4">
      <c r="A3" s="2" t="s">
        <v>31</v>
      </c>
      <c r="B3" s="2">
        <v>30</v>
      </c>
      <c r="C3" s="2">
        <v>30</v>
      </c>
      <c r="D3" s="54">
        <f t="shared" ref="D3:D5" si="0">C3/B3*100</f>
        <v>100</v>
      </c>
    </row>
    <row r="4" spans="1:4">
      <c r="A4" s="2" t="s">
        <v>32</v>
      </c>
      <c r="B4" s="2">
        <v>17</v>
      </c>
      <c r="C4" s="2">
        <v>17</v>
      </c>
      <c r="D4" s="54">
        <f t="shared" si="0"/>
        <v>100</v>
      </c>
    </row>
    <row r="5" spans="1:4">
      <c r="A5" s="2" t="s">
        <v>33</v>
      </c>
      <c r="B5" s="2">
        <v>50</v>
      </c>
      <c r="C5" s="2">
        <v>9</v>
      </c>
      <c r="D5" s="54">
        <f t="shared" si="0"/>
        <v>18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selection activeCell="E18" sqref="E18"/>
    </sheetView>
  </sheetViews>
  <sheetFormatPr defaultRowHeight="15"/>
  <cols>
    <col min="1" max="1" width="13.28515625" customWidth="1"/>
    <col min="2" max="2" width="23.140625" bestFit="1" customWidth="1"/>
    <col min="3" max="3" width="15.28515625" bestFit="1" customWidth="1"/>
    <col min="4" max="4" width="19.28515625" customWidth="1"/>
    <col min="5" max="5" width="18.28515625" customWidth="1"/>
    <col min="6" max="10" width="24.5703125" customWidth="1"/>
  </cols>
  <sheetData>
    <row r="1" spans="1:9" ht="30">
      <c r="A1" s="3" t="s">
        <v>34</v>
      </c>
      <c r="B1" s="3" t="s">
        <v>12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ht="60">
      <c r="A2" s="4">
        <v>1</v>
      </c>
      <c r="B2" s="5" t="s">
        <v>42</v>
      </c>
      <c r="C2" s="5" t="s">
        <v>43</v>
      </c>
      <c r="D2" s="4" t="s">
        <v>44</v>
      </c>
      <c r="E2" s="5" t="s">
        <v>45</v>
      </c>
      <c r="F2" s="5" t="s">
        <v>64</v>
      </c>
      <c r="G2" s="5" t="s">
        <v>46</v>
      </c>
      <c r="H2" s="5" t="s">
        <v>47</v>
      </c>
      <c r="I2" s="5" t="s">
        <v>48</v>
      </c>
    </row>
    <row r="3" spans="1:9" ht="90">
      <c r="A3" s="4">
        <v>2</v>
      </c>
      <c r="B3" s="5" t="s">
        <v>49</v>
      </c>
      <c r="C3" s="5" t="s">
        <v>50</v>
      </c>
      <c r="D3" s="4" t="s">
        <v>51</v>
      </c>
      <c r="E3" s="5" t="s">
        <v>52</v>
      </c>
      <c r="F3" s="5" t="s">
        <v>53</v>
      </c>
      <c r="G3" s="5" t="s">
        <v>54</v>
      </c>
      <c r="H3" s="6" t="s">
        <v>55</v>
      </c>
      <c r="I3" s="5" t="s">
        <v>26</v>
      </c>
    </row>
    <row r="4" spans="1:9" ht="60">
      <c r="A4" s="4">
        <v>3</v>
      </c>
      <c r="B4" s="5" t="s">
        <v>56</v>
      </c>
      <c r="C4" s="5" t="s">
        <v>57</v>
      </c>
      <c r="D4" s="4" t="s">
        <v>58</v>
      </c>
      <c r="E4" s="5" t="s">
        <v>63</v>
      </c>
      <c r="F4" s="5" t="s">
        <v>62</v>
      </c>
      <c r="G4" s="5" t="s">
        <v>59</v>
      </c>
      <c r="H4" s="5" t="s">
        <v>60</v>
      </c>
      <c r="I4" s="5" t="s">
        <v>61</v>
      </c>
    </row>
    <row r="7" spans="1:9">
      <c r="B7" s="5" t="s">
        <v>65</v>
      </c>
      <c r="C7" s="5" t="s">
        <v>12</v>
      </c>
    </row>
    <row r="8" spans="1:9">
      <c r="B8" s="5" t="s">
        <v>66</v>
      </c>
      <c r="C8" s="5" t="s">
        <v>67</v>
      </c>
    </row>
    <row r="9" spans="1:9">
      <c r="B9" s="5" t="s">
        <v>69</v>
      </c>
      <c r="C9" s="5" t="s">
        <v>68</v>
      </c>
    </row>
    <row r="10" spans="1:9">
      <c r="B10" s="5" t="s">
        <v>70</v>
      </c>
      <c r="C10" s="5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C23" sqref="C23"/>
    </sheetView>
  </sheetViews>
  <sheetFormatPr defaultRowHeight="15"/>
  <cols>
    <col min="1" max="1" width="19.140625" bestFit="1" customWidth="1"/>
    <col min="3" max="3" width="14.28515625" customWidth="1"/>
    <col min="4" max="4" width="12.42578125" customWidth="1"/>
    <col min="5" max="5" width="12.7109375" customWidth="1"/>
    <col min="6" max="6" width="14" customWidth="1"/>
    <col min="8" max="8" width="11.140625" customWidth="1"/>
    <col min="40" max="40" width="23.5703125" bestFit="1" customWidth="1"/>
  </cols>
  <sheetData>
    <row r="1" spans="1:7">
      <c r="A1" s="47" t="s">
        <v>72</v>
      </c>
      <c r="B1" s="49" t="s">
        <v>14</v>
      </c>
      <c r="C1" s="49" t="s">
        <v>10</v>
      </c>
      <c r="D1" s="49" t="s">
        <v>11</v>
      </c>
      <c r="E1" s="12" t="s">
        <v>13</v>
      </c>
      <c r="F1" s="49" t="s">
        <v>74</v>
      </c>
      <c r="G1" s="43" t="s">
        <v>15</v>
      </c>
    </row>
    <row r="2" spans="1:7" ht="15.75" thickBot="1">
      <c r="A2" s="48"/>
      <c r="B2" s="50"/>
      <c r="C2" s="50"/>
      <c r="D2" s="50"/>
      <c r="E2" s="7" t="s">
        <v>73</v>
      </c>
      <c r="F2" s="50"/>
      <c r="G2" s="44"/>
    </row>
    <row r="3" spans="1:7" ht="15.75" thickBot="1">
      <c r="A3" s="45" t="s">
        <v>16</v>
      </c>
      <c r="B3" s="8" t="s">
        <v>17</v>
      </c>
      <c r="C3" s="9">
        <v>100</v>
      </c>
      <c r="D3" s="9">
        <v>150</v>
      </c>
      <c r="E3" s="9">
        <v>250</v>
      </c>
      <c r="F3" s="8">
        <v>100</v>
      </c>
      <c r="G3" s="14">
        <v>350</v>
      </c>
    </row>
    <row r="4" spans="1:7" ht="24.6" customHeight="1" thickBot="1">
      <c r="A4" s="46"/>
      <c r="B4" s="8" t="s">
        <v>18</v>
      </c>
      <c r="C4" s="10">
        <v>101</v>
      </c>
      <c r="D4" s="10"/>
      <c r="E4" s="10">
        <v>101</v>
      </c>
      <c r="F4" s="11"/>
      <c r="G4" s="15">
        <v>101</v>
      </c>
    </row>
    <row r="5" spans="1:7" ht="12.6" customHeight="1" thickBot="1">
      <c r="A5" s="13" t="s">
        <v>19</v>
      </c>
      <c r="B5" s="8" t="s">
        <v>17</v>
      </c>
      <c r="C5" s="9"/>
      <c r="D5" s="9">
        <v>300</v>
      </c>
      <c r="E5" s="9">
        <v>300</v>
      </c>
      <c r="F5" s="8"/>
      <c r="G5" s="14">
        <v>300</v>
      </c>
    </row>
    <row r="6" spans="1:7" ht="24.6" customHeight="1" thickBot="1">
      <c r="A6" s="16" t="s">
        <v>20</v>
      </c>
      <c r="B6" s="8" t="s">
        <v>18</v>
      </c>
      <c r="C6" s="10"/>
      <c r="D6" s="10"/>
      <c r="E6" s="10"/>
      <c r="F6" s="11"/>
      <c r="G6" s="15"/>
    </row>
    <row r="7" spans="1:7" ht="12.6" customHeight="1" thickBot="1">
      <c r="A7" s="45" t="s">
        <v>21</v>
      </c>
      <c r="B7" s="8" t="s">
        <v>17</v>
      </c>
      <c r="C7" s="9"/>
      <c r="D7" s="9">
        <v>50</v>
      </c>
      <c r="E7" s="9">
        <v>50</v>
      </c>
      <c r="F7" s="8"/>
      <c r="G7" s="14">
        <v>50</v>
      </c>
    </row>
    <row r="8" spans="1:7" ht="12.6" customHeight="1" thickBot="1">
      <c r="A8" s="46"/>
      <c r="B8" s="8" t="s">
        <v>18</v>
      </c>
      <c r="C8" s="10"/>
      <c r="D8" s="10"/>
      <c r="E8" s="10"/>
      <c r="F8" s="11"/>
      <c r="G8" s="15"/>
    </row>
    <row r="9" spans="1:7" ht="12.6" customHeight="1" thickBot="1">
      <c r="A9" s="45" t="s">
        <v>75</v>
      </c>
      <c r="B9" s="8" t="s">
        <v>17</v>
      </c>
      <c r="C9" s="9">
        <v>50</v>
      </c>
      <c r="D9" s="9"/>
      <c r="E9" s="9">
        <v>50</v>
      </c>
      <c r="F9" s="8">
        <v>50</v>
      </c>
      <c r="G9" s="14">
        <v>100</v>
      </c>
    </row>
    <row r="10" spans="1:7" ht="13.9" customHeight="1" thickBot="1">
      <c r="A10" s="46"/>
      <c r="B10" s="8" t="s">
        <v>18</v>
      </c>
      <c r="C10" s="10">
        <v>15</v>
      </c>
      <c r="D10" s="10"/>
      <c r="E10" s="10">
        <v>15</v>
      </c>
      <c r="F10" s="11"/>
      <c r="G10" s="15">
        <v>15</v>
      </c>
    </row>
    <row r="11" spans="1:7" ht="12.6" customHeight="1" thickBot="1">
      <c r="A11" s="45" t="s">
        <v>22</v>
      </c>
      <c r="B11" s="8" t="s">
        <v>17</v>
      </c>
      <c r="C11" s="9"/>
      <c r="D11" s="9">
        <v>100</v>
      </c>
      <c r="E11" s="9">
        <v>100</v>
      </c>
      <c r="F11" s="11"/>
      <c r="G11" s="14">
        <v>100</v>
      </c>
    </row>
    <row r="12" spans="1:7" ht="13.9" customHeight="1" thickBot="1">
      <c r="A12" s="46"/>
      <c r="B12" s="8" t="s">
        <v>18</v>
      </c>
      <c r="C12" s="10"/>
      <c r="D12" s="10"/>
      <c r="E12" s="10"/>
      <c r="F12" s="11"/>
      <c r="G12" s="15"/>
    </row>
    <row r="13" spans="1:7" ht="12.6" customHeight="1" thickBot="1">
      <c r="A13" s="36" t="s">
        <v>23</v>
      </c>
      <c r="B13" s="8" t="s">
        <v>17</v>
      </c>
      <c r="C13" s="9">
        <v>150</v>
      </c>
      <c r="D13" s="9">
        <v>600</v>
      </c>
      <c r="E13" s="9">
        <v>750</v>
      </c>
      <c r="F13" s="8">
        <v>150</v>
      </c>
      <c r="G13" s="14">
        <v>900</v>
      </c>
    </row>
    <row r="14" spans="1:7" ht="24.6" customHeight="1">
      <c r="A14" s="37"/>
      <c r="B14" s="39" t="s">
        <v>18</v>
      </c>
      <c r="C14" s="41">
        <v>116</v>
      </c>
      <c r="D14" s="41"/>
      <c r="E14" s="41">
        <v>116</v>
      </c>
      <c r="F14" s="32"/>
      <c r="G14" s="34">
        <v>116</v>
      </c>
    </row>
    <row r="15" spans="1:7">
      <c r="A15" s="38"/>
      <c r="B15" s="40"/>
      <c r="C15" s="42"/>
      <c r="D15" s="42"/>
      <c r="E15" s="42"/>
      <c r="F15" s="33"/>
      <c r="G15" s="35"/>
    </row>
    <row r="16" spans="1:7" ht="12.6" customHeight="1"/>
    <row r="17" ht="12.6" customHeight="1"/>
    <row r="18" ht="12.6" customHeight="1"/>
    <row r="19" ht="12.6" customHeight="1"/>
    <row r="20" ht="12.6" customHeight="1"/>
    <row r="21" ht="12.6" customHeight="1"/>
    <row r="22" ht="12.6" customHeight="1"/>
  </sheetData>
  <mergeCells count="17">
    <mergeCell ref="G1:G2"/>
    <mergeCell ref="A3:A4"/>
    <mergeCell ref="A7:A8"/>
    <mergeCell ref="A9:A10"/>
    <mergeCell ref="A11:A12"/>
    <mergeCell ref="A1:A2"/>
    <mergeCell ref="B1:B2"/>
    <mergeCell ref="C1:C2"/>
    <mergeCell ref="D1:D2"/>
    <mergeCell ref="F1:F2"/>
    <mergeCell ref="F14:F15"/>
    <mergeCell ref="G14:G15"/>
    <mergeCell ref="A13:A15"/>
    <mergeCell ref="B14:B15"/>
    <mergeCell ref="C14:C15"/>
    <mergeCell ref="D14:D15"/>
    <mergeCell ref="E14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D9" sqref="C1:D9"/>
    </sheetView>
  </sheetViews>
  <sheetFormatPr defaultRowHeight="15"/>
  <sheetData>
    <row r="1" spans="1:2">
      <c r="A1" s="31" t="s">
        <v>76</v>
      </c>
      <c r="B1" s="31" t="s">
        <v>77</v>
      </c>
    </row>
    <row r="2" spans="1:2">
      <c r="A2" s="2" t="s">
        <v>8</v>
      </c>
      <c r="B2" s="2">
        <v>15</v>
      </c>
    </row>
    <row r="3" spans="1:2">
      <c r="A3" s="2" t="s">
        <v>9</v>
      </c>
      <c r="B3" s="2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D13" sqref="D13"/>
    </sheetView>
  </sheetViews>
  <sheetFormatPr defaultRowHeight="15"/>
  <sheetData>
    <row r="1" spans="1:2">
      <c r="A1" s="2" t="s">
        <v>76</v>
      </c>
      <c r="B1" s="2" t="s">
        <v>77</v>
      </c>
    </row>
    <row r="2" spans="1:2">
      <c r="A2" s="2" t="s">
        <v>78</v>
      </c>
      <c r="B2" s="2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C18" sqref="C18"/>
    </sheetView>
  </sheetViews>
  <sheetFormatPr defaultRowHeight="15"/>
  <cols>
    <col min="1" max="1" width="19" bestFit="1" customWidth="1"/>
    <col min="2" max="2" width="11.7109375" bestFit="1" customWidth="1"/>
    <col min="3" max="3" width="27.42578125" bestFit="1" customWidth="1"/>
    <col min="4" max="4" width="26.7109375" bestFit="1" customWidth="1"/>
    <col min="5" max="5" width="22.42578125" customWidth="1"/>
  </cols>
  <sheetData>
    <row r="1" spans="1:4" ht="15.75">
      <c r="A1" s="23"/>
      <c r="B1" s="24" t="s">
        <v>12</v>
      </c>
      <c r="C1" s="24" t="s">
        <v>79</v>
      </c>
      <c r="D1" s="24" t="s">
        <v>80</v>
      </c>
    </row>
    <row r="2" spans="1:4" ht="15.75">
      <c r="A2" s="55" t="s">
        <v>81</v>
      </c>
      <c r="B2" s="25">
        <v>46060</v>
      </c>
      <c r="C2" s="26" t="s">
        <v>82</v>
      </c>
      <c r="D2" s="27" t="s">
        <v>27</v>
      </c>
    </row>
    <row r="3" spans="1:4" ht="14.45" customHeight="1">
      <c r="A3" s="56"/>
      <c r="B3" s="25">
        <v>46060</v>
      </c>
      <c r="C3" s="26" t="s">
        <v>83</v>
      </c>
      <c r="D3" s="27" t="s">
        <v>84</v>
      </c>
    </row>
    <row r="4" spans="1:4" ht="15.75" customHeight="1">
      <c r="A4" s="56"/>
      <c r="B4" s="25">
        <v>46060</v>
      </c>
      <c r="C4" s="26" t="s">
        <v>85</v>
      </c>
      <c r="D4" s="27" t="s">
        <v>24</v>
      </c>
    </row>
    <row r="5" spans="1:4" ht="15.75">
      <c r="A5" s="56"/>
      <c r="B5" s="25">
        <v>46060</v>
      </c>
      <c r="C5" s="26" t="s">
        <v>86</v>
      </c>
      <c r="D5" s="27" t="s">
        <v>24</v>
      </c>
    </row>
    <row r="6" spans="1:4" ht="15.75">
      <c r="A6" s="56"/>
      <c r="B6" s="25">
        <v>46060</v>
      </c>
      <c r="C6" s="26" t="s">
        <v>87</v>
      </c>
      <c r="D6" s="27" t="s">
        <v>24</v>
      </c>
    </row>
    <row r="7" spans="1:4" ht="15.75">
      <c r="A7" s="56"/>
      <c r="B7" s="25">
        <v>46067</v>
      </c>
      <c r="C7" s="26" t="s">
        <v>88</v>
      </c>
      <c r="D7" s="27" t="s">
        <v>25</v>
      </c>
    </row>
    <row r="8" spans="1:4" ht="15.75">
      <c r="A8" s="56"/>
      <c r="B8" s="25">
        <v>46067</v>
      </c>
      <c r="C8" s="26" t="s">
        <v>89</v>
      </c>
      <c r="D8" s="27" t="s">
        <v>25</v>
      </c>
    </row>
    <row r="9" spans="1:4" ht="15.75">
      <c r="A9" s="56"/>
      <c r="B9" s="25">
        <v>46077</v>
      </c>
      <c r="C9" s="26" t="s">
        <v>90</v>
      </c>
      <c r="D9" s="27" t="s">
        <v>27</v>
      </c>
    </row>
    <row r="10" spans="1:4" ht="15.75">
      <c r="A10" s="57"/>
      <c r="B10" s="25">
        <v>46078</v>
      </c>
      <c r="C10" s="26" t="s">
        <v>91</v>
      </c>
      <c r="D10" s="27" t="s">
        <v>27</v>
      </c>
    </row>
  </sheetData>
  <mergeCells count="1">
    <mergeCell ref="A2:A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activeCell="C13" sqref="C13"/>
    </sheetView>
  </sheetViews>
  <sheetFormatPr defaultRowHeight="15"/>
  <cols>
    <col min="2" max="2" width="17.42578125" bestFit="1" customWidth="1"/>
    <col min="3" max="3" width="28" bestFit="1" customWidth="1"/>
    <col min="4" max="4" width="27.28515625" bestFit="1" customWidth="1"/>
    <col min="5" max="5" width="20.5703125" bestFit="1" customWidth="1"/>
  </cols>
  <sheetData>
    <row r="1" spans="1:4" ht="15.75">
      <c r="B1" s="24" t="s">
        <v>12</v>
      </c>
      <c r="C1" s="24" t="s">
        <v>79</v>
      </c>
      <c r="D1" s="24" t="s">
        <v>80</v>
      </c>
    </row>
    <row r="2" spans="1:4" ht="15.75">
      <c r="A2" s="51" t="s">
        <v>94</v>
      </c>
      <c r="B2" s="17">
        <v>46061</v>
      </c>
      <c r="C2" s="18" t="s">
        <v>92</v>
      </c>
      <c r="D2" s="19" t="s">
        <v>25</v>
      </c>
    </row>
    <row r="3" spans="1:4" ht="15.75">
      <c r="A3" s="52"/>
      <c r="B3" s="20">
        <v>46061</v>
      </c>
      <c r="C3" s="21" t="s">
        <v>93</v>
      </c>
      <c r="D3" s="22" t="s">
        <v>25</v>
      </c>
    </row>
  </sheetData>
  <mergeCells count="1">
    <mergeCell ref="A2:A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E9DF-231D-4D5D-B012-EDD3B658E061}">
  <dimension ref="A1:C11"/>
  <sheetViews>
    <sheetView workbookViewId="0">
      <selection activeCell="H22" sqref="H22"/>
    </sheetView>
  </sheetViews>
  <sheetFormatPr defaultRowHeight="15"/>
  <cols>
    <col min="1" max="1" width="17.85546875" bestFit="1" customWidth="1"/>
    <col min="2" max="2" width="17.28515625" bestFit="1" customWidth="1"/>
  </cols>
  <sheetData>
    <row r="1" spans="1:3">
      <c r="A1" s="2" t="s">
        <v>95</v>
      </c>
      <c r="B1" s="2">
        <v>268</v>
      </c>
    </row>
    <row r="2" spans="1:3">
      <c r="A2" s="2" t="s">
        <v>96</v>
      </c>
      <c r="B2" s="2">
        <v>85</v>
      </c>
    </row>
    <row r="3" spans="1:3">
      <c r="A3" s="2" t="s">
        <v>97</v>
      </c>
      <c r="B3" s="2">
        <v>236</v>
      </c>
    </row>
    <row r="4" spans="1:3">
      <c r="A4" s="2" t="s">
        <v>98</v>
      </c>
      <c r="B4" s="2">
        <v>249</v>
      </c>
    </row>
    <row r="5" spans="1:3">
      <c r="A5" s="2" t="s">
        <v>99</v>
      </c>
      <c r="B5" s="2">
        <v>517</v>
      </c>
    </row>
    <row r="7" spans="1:3">
      <c r="A7" s="2" t="s">
        <v>95</v>
      </c>
      <c r="B7" s="2">
        <v>268</v>
      </c>
      <c r="C7" s="28">
        <v>0.52</v>
      </c>
    </row>
    <row r="8" spans="1:3">
      <c r="A8" s="2" t="s">
        <v>98</v>
      </c>
      <c r="B8" s="2">
        <v>249</v>
      </c>
      <c r="C8" s="28">
        <v>0.48</v>
      </c>
    </row>
    <row r="10" spans="1:3">
      <c r="A10" s="2" t="s">
        <v>100</v>
      </c>
      <c r="B10" s="2">
        <v>423</v>
      </c>
      <c r="C10" s="29">
        <v>0.82</v>
      </c>
    </row>
    <row r="11" spans="1:3">
      <c r="A11" s="2" t="s">
        <v>101</v>
      </c>
      <c r="B11" s="2">
        <v>94</v>
      </c>
      <c r="C11" s="29">
        <v>0.18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63A4-FAA2-4D5C-9A3F-1AF6A2363593}">
  <dimension ref="A1:B3"/>
  <sheetViews>
    <sheetView tabSelected="1" workbookViewId="0">
      <selection activeCell="D13" sqref="D13"/>
    </sheetView>
  </sheetViews>
  <sheetFormatPr defaultRowHeight="15"/>
  <cols>
    <col min="2" max="2" width="20.5703125" bestFit="1" customWidth="1"/>
    <col min="3" max="3" width="20.28515625" bestFit="1" customWidth="1"/>
  </cols>
  <sheetData>
    <row r="1" spans="1:2">
      <c r="A1" s="31" t="s">
        <v>103</v>
      </c>
      <c r="B1" s="30" t="s">
        <v>102</v>
      </c>
    </row>
    <row r="2" spans="1:2">
      <c r="A2" s="2" t="s">
        <v>8</v>
      </c>
      <c r="B2" s="2">
        <v>9</v>
      </c>
    </row>
    <row r="3" spans="1:2">
      <c r="A3" s="2" t="s">
        <v>9</v>
      </c>
      <c r="B3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Lecture_Breakdown</vt:lpstr>
      <vt:lpstr>Exam_Status</vt:lpstr>
      <vt:lpstr>Highlights</vt:lpstr>
      <vt:lpstr>Enrollments</vt:lpstr>
      <vt:lpstr>Batch_Transfers</vt:lpstr>
      <vt:lpstr>Dropouts</vt:lpstr>
      <vt:lpstr>Lecture_Commencements</vt:lpstr>
      <vt:lpstr>Lecture_Endings</vt:lpstr>
      <vt:lpstr>Internship</vt:lpstr>
      <vt:lpstr>Counselling sessions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Salinda Wickramasinghe</cp:lastModifiedBy>
  <cp:revision/>
  <dcterms:created xsi:type="dcterms:W3CDTF">2025-09-30T04:45:09Z</dcterms:created>
  <dcterms:modified xsi:type="dcterms:W3CDTF">2026-02-25T03:20:14Z</dcterms:modified>
  <cp:category/>
  <cp:contentStatus/>
</cp:coreProperties>
</file>